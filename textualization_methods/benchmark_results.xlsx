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Olena\Desktop\ucu\four\rag_support_system\"/>
    </mc:Choice>
  </mc:AlternateContent>
  <xr:revisionPtr revIDLastSave="0" documentId="13_ncr:1_{F2276CE7-1C40-470C-A71B-B0F2E3EF7B9F}" xr6:coauthVersionLast="47" xr6:coauthVersionMax="47" xr10:uidLastSave="{00000000-0000-0000-0000-000000000000}"/>
  <bookViews>
    <workbookView xWindow="-108" yWindow="-108" windowWidth="23256" windowHeight="12456" activeTab="1" xr2:uid="{00000000-000D-0000-FFFF-FFFF00000000}"/>
  </bookViews>
  <sheets>
    <sheet name="scores" sheetId="1" r:id="rId1"/>
    <sheet name="statistics" sheetId="2" r:id="rId2"/>
  </sheets>
  <calcPr calcId="191029"/>
  <pivotCaches>
    <pivotCache cacheId="0"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0" i="2" l="1"/>
  <c r="E16" i="2"/>
  <c r="E12" i="2"/>
  <c r="E8" i="2"/>
  <c r="E4" i="2"/>
</calcChain>
</file>

<file path=xl/sharedStrings.xml><?xml version="1.0" encoding="utf-8"?>
<sst xmlns="http://schemas.openxmlformats.org/spreadsheetml/2006/main" count="94" uniqueCount="38">
  <si>
    <t>Experiment Name</t>
  </si>
  <si>
    <t>Input File</t>
  </si>
  <si>
    <t>Avg Linguistic Score</t>
  </si>
  <si>
    <t>Avg Structure Score</t>
  </si>
  <si>
    <t>Avg Data Score</t>
  </si>
  <si>
    <t>Justification</t>
  </si>
  <si>
    <t>Pages Processed</t>
  </si>
  <si>
    <t>Model Judge</t>
  </si>
  <si>
    <t>Anthropic: Claude Sonnet 4.6</t>
  </si>
  <si>
    <t>Visual data.md</t>
  </si>
  <si>
    <t>Модель Claude Sonnet 4.6 демонструє високу якість текстуалізації, забезпечуючи точність мови та структурування тексту відповідно до оригіналу. Хоча в більшості випадків відтворення заголовків, абзаців та числових даних є точним, іноді спостерігаються незначні розбіжності в іменах та форматуванні, які незначно впливають на загальну якість роботи. Стандарти мовленнєвого оформлення підтримуються на високому рівні, але є потенціал для покращення в точності відображення специфічних даних та візуальних елементів.</t>
  </si>
  <si>
    <t>openai/gpt-4o</t>
  </si>
  <si>
    <t>Google: Gemini 3 Flash Preview</t>
  </si>
  <si>
    <t>Модель Google: Gemini 3 Flash Preview демонструє високий рівень лінгвістичної точності та правильності в передачі тексту, лексики й граматики, а також загальної структури (заголовків, абзаців і списків), що в переважній більшості сторінок відповідає оригіналу. Проте, спостерігаються незначні недоліки у відображенні графічних елементів, таких як підписи, і можливі неточності в цифрах і даних, які іноді не повністю узгоджуються з оригінальними зображеннями.</t>
  </si>
  <si>
    <t>OpenAI: GPT-5.4</t>
  </si>
  <si>
    <t>Модель GPT-5.4 демонструє високу якість розпізнавання тексту, зберігаючи точність лінгвістики та структурні елементи, такі як заголовки та абзаци, хоча іноді виникають незначні розбіжності у форматуванні та числових даних. Незважаючи на дрібні невідповідності та недоліки у відтворенні заголовків і списків, загальний рівень точності в передачі імен, дат та змісту є стабільно високим. Однак варто звернути увагу на певні зображення, де відсутність деталей обмежує якість загального сприйняття інформації.</t>
  </si>
  <si>
    <t>Google: Gemma 3 27B (free)</t>
  </si>
  <si>
    <t>Модель Google: Gemma 3 27B загалом демонструє високу лінгвістичну якість, відтворюючи текст без значних орфографічних та граматичних помилок. Проте, часто спостерігаються незначні відхилення у форматуванні та структурі, такі як втрата деяких візуальних елементів, графіків або списків, а також неточності в числових даних. Дані, такі як імена та описи, здебільшого точні, але можуть вимагати додаткової перевірки для đảmнення повної відповідності.</t>
  </si>
  <si>
    <t>Anthropic: Claude Opus 4.6</t>
  </si>
  <si>
    <t>Модель Claude Opus 4.6 демонструє високу якість роботи, забезпечуючи точне відтворення тексту та структури більшості сторінок без значних лексичних чи граматичних помилок. Вона здатна коректно відображати дані, включаючи цифри, імена та описи, однак можливі незначні неточності у форматуванні, деталізаціях або окремих деталях, таких як підписи до зображень чи додаткові інформаційні елементи. Загалом модель забезпечує гарну відповідність оригіналу, особливо в лінгвістичній точності та відтворенні заголовків і списків.</t>
  </si>
  <si>
    <t>Complex tables.md</t>
  </si>
  <si>
    <t>Під час текстуалізації Claude Sonnet 4.6 модель продемонструвала високу якість роботи в плані мовної точності та збереження структури тексту. Незважаючи на дрібні недоліки у візуальному оформленні та позиціонуванні елементів, дані відображалися точно та без значних помилок. Це свідчить про високу загальну якість текстуалізації при незначних необхідних покращеннях у деталізації структури.</t>
  </si>
  <si>
    <t>Модель Google: Gemini 3 Flash Preview демонструє високу якість роботи в текстуалізації зображень, точно відтворюючи текст та структуру документів. Незважаючи на незначні відхилення в деталях і кілька одруківок, основні дані, включаючи імена та назви, передані коректно. Модель добре справляється з відтворенням лінгвістичних особливостей та структурних елементів, хоча може виникати незначна плутанина через складність документів.</t>
  </si>
  <si>
    <t>GPT-5.4 демонструє високу якість мовної обробки, забезпечуючи адекватне передавання змісту тексту з мінімальними лексичними помилками. Однак, модель має певні труднощі з точним відтворенням структурних елементів, таких як заголовки і таблиці, та з деталями у відображенні персональних даних, що впливає на структуру та точність даних.</t>
  </si>
  <si>
    <t>Модель Gemma 3 27B демонструє загалом високу якість текстуалізації, добре зберігаючи структуру тексту і форматування списків та заголовків. Однак, вона допускає дрібні неточності в узгодженості тексту, мають місце окремі лексичні помилки і певні розбіжності в іменах, посадових назвах та окремих даних. Це вказує на її стабільну роботу зі структурою, але вимагає більшої точності в деталях.</t>
  </si>
  <si>
    <t>Модель Claude Opus 4.6 демонструє високу якість текстуалізації, відтворюючи оригінальний текст майже без мовних помилок і з правильною загальною структурою, хоча іноді виникають незначні розбіжності в оформленні заголовків та таблиць. Виправлення дрібних одруківок та вдосконалення відображення управлінської структури можуть додатково покращити точність результатів.</t>
  </si>
  <si>
    <t>Simple text.md</t>
  </si>
  <si>
    <t>Модель Anthropic: Claude Sonnet 4.6 демонструє високу якість розпізнавання тексту, зберігаючи точність відтворення слів, структури документів, а також імен, дат і цифр у більшості випадків. Хоча загалом текст майже ідеально відтворений, є незначні похибки в оформленні підписів на одній зі сторінок, які не суттєво впливають на загальну якість результату.</t>
  </si>
  <si>
    <t>Модель Google: Gemini 3 Flash Preview демонструє високу якість текстуалізації, відтворюючи текст без орфографічних помилок та точно зберігаючи структуру оригінального документа, включно з заголовками, списками та цифровими даними. Однак, незначною вадою є відсутність чіткого розділення між деякими розділами, що може надавати тексту менш формальний вигляд. В цілому, модель надійно справляється з точним і ефективним розпізнаванням тексту.</t>
  </si>
  <si>
    <t>Загалом, модель GPT-5.4 демонструє високу точність у текстуалізації, відтворюючи текст без помилок, зберігаючи структуру та правильність української мови, а також точно передаючи цифри та імена. Невеликі відхилення у форматуванні, як-от оформлення списків чи заголовків, зустрічаються, але не впливають на загальну якість відтворення тексту.</t>
  </si>
  <si>
    <t>Модель Google: Gemma 3 27B (free) демонструє високу якість текстуалізації, зберігаючи точність розпізнавання тексту, включаючи цифри і назви, без мовних та структурних помилок. В усіх випадках структура тексту, зокрема заголовки, відступи та списки, здебільшого відтворюється коректно, хоча можуть траплятися незначні відмінності у стилістичному оформленні елементів.</t>
  </si>
  <si>
    <t>Модель Claude Opus 4.6 демонструє високу якість роботи з текстуалізації, точно відтворюючи слова, цифри, імена та лінгвістичні аспекти тексту без орфографічних помилок. Загалом структура документів добре зберігається, хоча зустрічаються незначні невідповідності у форматуванні списків та візуалізації певних елементів, таких як спеціальні символи чи порожні рядки.</t>
  </si>
  <si>
    <t>Row Labels</t>
  </si>
  <si>
    <t>Grand Total</t>
  </si>
  <si>
    <t>Average of Avg Linguistic Score</t>
  </si>
  <si>
    <t>Average of Avg Structure Score</t>
  </si>
  <si>
    <t>Average of Avg Data Score</t>
  </si>
  <si>
    <t>Model Total Average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</si>
</sst>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color theme="1"/>
      <name val="Calibri"/>
      <family val="2"/>
      <scheme val="minor"/>
    </font>
  </fonts>
  <fills count="6">
    <fill>
      <patternFill patternType="none"/>
    </fill>
    <fill>
      <patternFill patternType="gray125"/>
    </fill>
    <fill>
      <patternFill patternType="solid">
        <fgColor theme="5" tint="0.39997558519241921"/>
        <bgColor indexed="64"/>
      </patternFill>
    </fill>
    <fill>
      <patternFill patternType="solid">
        <fgColor theme="4" tint="0.79998168889431442"/>
        <bgColor indexed="64"/>
      </patternFill>
    </fill>
    <fill>
      <patternFill patternType="solid">
        <fgColor theme="0"/>
        <bgColor indexed="64"/>
      </patternFill>
    </fill>
    <fill>
      <patternFill patternType="solid">
        <fgColor theme="9" tint="0.39997558519241921"/>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4">
    <xf numFmtId="0" fontId="0" fillId="0" borderId="0" xfId="0"/>
    <xf numFmtId="0" fontId="1" fillId="0" borderId="1" xfId="0" applyFont="1" applyBorder="1" applyAlignment="1">
      <alignment horizontal="center" vertical="top"/>
    </xf>
    <xf numFmtId="0" fontId="0" fillId="0" borderId="0" xfId="0" applyAlignment="1">
      <alignment horizontal="left" indent="1"/>
    </xf>
    <xf numFmtId="0" fontId="0" fillId="2" borderId="0" xfId="0" applyFill="1" applyAlignment="1">
      <alignment horizontal="left"/>
    </xf>
    <xf numFmtId="0" fontId="0" fillId="0" borderId="0" xfId="0" pivotButton="1" applyAlignment="1">
      <alignment horizontal="center" vertical="center"/>
    </xf>
    <xf numFmtId="0" fontId="0" fillId="0" borderId="0" xfId="0" applyAlignment="1">
      <alignment horizontal="center" vertical="center"/>
    </xf>
    <xf numFmtId="2" fontId="0" fillId="2" borderId="0" xfId="0" applyNumberFormat="1" applyFill="1" applyAlignment="1">
      <alignment horizontal="center" vertical="center"/>
    </xf>
    <xf numFmtId="2" fontId="0" fillId="0" borderId="0" xfId="0" applyNumberFormat="1" applyAlignment="1">
      <alignment horizontal="center" vertical="center"/>
    </xf>
    <xf numFmtId="0" fontId="0" fillId="0" borderId="0" xfId="0" applyAlignment="1">
      <alignment horizontal="center"/>
    </xf>
    <xf numFmtId="0" fontId="2" fillId="3" borderId="0" xfId="0" applyFont="1" applyFill="1" applyAlignment="1">
      <alignment horizontal="center" vertical="center"/>
    </xf>
    <xf numFmtId="2" fontId="0" fillId="4" borderId="3" xfId="0" applyNumberFormat="1" applyFill="1" applyBorder="1" applyAlignment="1">
      <alignment horizontal="center" vertical="center"/>
    </xf>
    <xf numFmtId="2" fontId="0" fillId="4" borderId="4" xfId="0" applyNumberFormat="1" applyFill="1" applyBorder="1" applyAlignment="1">
      <alignment horizontal="center" vertical="center"/>
    </xf>
    <xf numFmtId="2" fontId="0" fillId="5" borderId="2" xfId="0" applyNumberFormat="1" applyFill="1" applyBorder="1" applyAlignment="1">
      <alignment horizontal="center" vertical="center"/>
    </xf>
    <xf numFmtId="2" fontId="0" fillId="5" borderId="3" xfId="0" applyNumberFormat="1" applyFill="1" applyBorder="1" applyAlignment="1">
      <alignment horizontal="center" vertical="center"/>
    </xf>
  </cellXfs>
  <cellStyles count="1">
    <cellStyle name="Normal" xfId="0" builtinId="0"/>
  </cellStyles>
  <dxfs count="17">
    <dxf>
      <alignment horizontal="center"/>
    </dxf>
    <dxf>
      <alignment horizontal="center"/>
    </dxf>
    <dxf>
      <alignment horizontal="center"/>
    </dxf>
    <dxf>
      <alignment horizontal="center"/>
    </dxf>
    <dxf>
      <alignment vertical="center"/>
    </dxf>
    <dxf>
      <alignment vertical="center"/>
    </dxf>
    <dxf>
      <alignment vertical="center"/>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ena" refreshedDate="46087.031564699071" createdVersion="8" refreshedVersion="8" minRefreshableVersion="3" recordCount="15" xr:uid="{165E1329-01A4-42E8-93EC-A999D01637CA}">
  <cacheSource type="worksheet">
    <worksheetSource ref="A1:H16" sheet="scores"/>
  </cacheSource>
  <cacheFields count="8">
    <cacheField name="Experiment Name" numFmtId="0">
      <sharedItems count="5">
        <s v="Anthropic: Claude Sonnet 4.6"/>
        <s v="Google: Gemini 3 Flash Preview"/>
        <s v="OpenAI: GPT-5.4"/>
        <s v="Google: Gemma 3 27B (free)"/>
        <s v="Anthropic: Claude Opus 4.6"/>
      </sharedItems>
    </cacheField>
    <cacheField name="Input File" numFmtId="0">
      <sharedItems count="3">
        <s v="Visual data.md"/>
        <s v="Complex tables.md"/>
        <s v="Simple text.md"/>
      </sharedItems>
    </cacheField>
    <cacheField name="Avg Linguistic Score" numFmtId="0">
      <sharedItems containsSemiMixedTypes="0" containsString="0" containsNumber="1" minValue="8.5" maxValue="10"/>
    </cacheField>
    <cacheField name="Avg Structure Score" numFmtId="0">
      <sharedItems containsSemiMixedTypes="0" containsString="0" containsNumber="1" minValue="7.5" maxValue="9.8000000000000007"/>
    </cacheField>
    <cacheField name="Avg Data Score" numFmtId="0">
      <sharedItems containsSemiMixedTypes="0" containsString="0" containsNumber="1" minValue="7" maxValue="10"/>
    </cacheField>
    <cacheField name="Justification" numFmtId="0">
      <sharedItems longText="1"/>
    </cacheField>
    <cacheField name="Pages Processed" numFmtId="0">
      <sharedItems containsSemiMixedTypes="0" containsString="0" containsNumber="1" containsInteger="1" minValue="2" maxValue="22"/>
    </cacheField>
    <cacheField name="Model Judge" numFmtId="0">
      <sharedItems count="1">
        <s v="openai/gpt-4o"/>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x v="0"/>
    <n v="9.2899999999999991"/>
    <n v="8.8800000000000008"/>
    <n v="8.76"/>
    <s v="Модель Claude Sonnet 4.6 демонструє високу якість текстуалізації, забезпечуючи точність мови та структурування тексту відповідно до оригіналу. Хоча в більшості випадків відтворення заголовків, абзаців та числових даних є точним, іноді спостерігаються незначні розбіжності в іменах та форматуванні, які незначно впливають на загальну якість роботи. Стандарти мовленнєвого оформлення підтримуються на високому рівні, але є потенціал для покращення в точності відображення специфічних даних та візуальних елементів."/>
    <n v="17"/>
    <x v="0"/>
  </r>
  <r>
    <x v="1"/>
    <x v="0"/>
    <n v="9.32"/>
    <n v="8.86"/>
    <n v="8.82"/>
    <s v="Модель Google: Gemini 3 Flash Preview демонструє високий рівень лінгвістичної точності та правильності в передачі тексту, лексики й граматики, а також загальної структури (заголовків, абзаців і списків), що в переважній більшості сторінок відповідає оригіналу. Проте, спостерігаються незначні недоліки у відображенні графічних елементів, таких як підписи, і можливі неточності в цифрах і даних, які іноді не повністю узгоджуються з оригінальними зображеннями."/>
    <n v="22"/>
    <x v="0"/>
  </r>
  <r>
    <x v="2"/>
    <x v="0"/>
    <n v="9.33"/>
    <n v="9"/>
    <n v="8.67"/>
    <s v="Модель GPT-5.4 демонструє високу якість розпізнавання тексту, зберігаючи точність лінгвістики та структурні елементи, такі як заголовки та абзаци, хоча іноді виникають незначні розбіжності у форматуванні та числових даних. Незважаючи на дрібні невідповідності та недоліки у відтворенні заголовків і списків, загальний рівень точності в передачі імен, дат та змісту є стабільно високим. Однак варто звернути увагу на певні зображення, де відсутність деталей обмежує якість загального сприйняття інформації."/>
    <n v="18"/>
    <x v="0"/>
  </r>
  <r>
    <x v="3"/>
    <x v="0"/>
    <n v="9"/>
    <n v="8.35"/>
    <n v="8.0500000000000007"/>
    <s v="Модель Google: Gemma 3 27B загалом демонструє високу лінгвістичну якість, відтворюючи текст без значних орфографічних та граматичних помилок. Проте, часто спостерігаються незначні відхилення у форматуванні та структурі, такі як втрата деяких візуальних елементів, графіків або списків, а також неточності в числових даних. Дані, такі як імена та описи, здебільшого точні, але можуть вимагати додаткової перевірки для đảmнення повної відповідності."/>
    <n v="20"/>
    <x v="0"/>
  </r>
  <r>
    <x v="4"/>
    <x v="0"/>
    <n v="9.35"/>
    <n v="9.0500000000000007"/>
    <n v="8.9499999999999993"/>
    <s v="Модель Claude Opus 4.6 демонструє високу якість роботи, забезпечуючи точне відтворення тексту та структури більшості сторінок без значних лексичних чи граматичних помилок. Вона здатна коректно відображати дані, включаючи цифри, імена та описи, однак можливі незначні неточності у форматуванні, деталізаціях або окремих деталях, таких як підписи до зображень чи додаткові інформаційні елементи. Загалом модель забезпечує гарну відповідність оригіналу, особливо в лінгвістичній точності та відтворенні заголовків і списків."/>
    <n v="20"/>
    <x v="0"/>
  </r>
  <r>
    <x v="0"/>
    <x v="1"/>
    <n v="9"/>
    <n v="8.5"/>
    <n v="9.5"/>
    <s v="Під час текстуалізації Claude Sonnet 4.6 модель продемонструвала високу якість роботи в плані мовної точності та збереження структури тексту. Незважаючи на дрібні недоліки у візуальному оформленні та позиціонуванні елементів, дані відображалися точно та без значних помилок. Це свідчить про високу загальну якість текстуалізації при незначних необхідних покращеннях у деталізації структури."/>
    <n v="2"/>
    <x v="0"/>
  </r>
  <r>
    <x v="1"/>
    <x v="1"/>
    <n v="9"/>
    <n v="8.5"/>
    <n v="9.5"/>
    <s v="Модель Google: Gemini 3 Flash Preview демонструє високу якість роботи в текстуалізації зображень, точно відтворюючи текст та структуру документів. Незважаючи на незначні відхилення в деталях і кілька одруківок, основні дані, включаючи імена та назви, передані коректно. Модель добре справляється з відтворенням лінгвістичних особливостей та структурних елементів, хоча може виникати незначна плутанина через складність документів."/>
    <n v="2"/>
    <x v="0"/>
  </r>
  <r>
    <x v="2"/>
    <x v="1"/>
    <n v="9"/>
    <n v="7.5"/>
    <n v="7.5"/>
    <s v="GPT-5.4 демонструє високу якість мовної обробки, забезпечуючи адекватне передавання змісту тексту з мінімальними лексичними помилками. Однак, модель має певні труднощі з точним відтворенням структурних елементів, таких як заголовки і таблиці, та з деталями у відображенні персональних даних, що впливає на структуру та точність даних."/>
    <n v="2"/>
    <x v="0"/>
  </r>
  <r>
    <x v="3"/>
    <x v="1"/>
    <n v="8.5"/>
    <n v="8.5"/>
    <n v="7"/>
    <s v="Модель Gemma 3 27B демонструє загалом високу якість текстуалізації, добре зберігаючи структуру тексту і форматування списків та заголовків. Однак, вона допускає дрібні неточності в узгодженості тексту, мають місце окремі лексичні помилки і певні розбіжності в іменах, посадових назвах та окремих даних. Це вказує на її стабільну роботу зі структурою, але вимагає більшої точності в деталях."/>
    <n v="2"/>
    <x v="0"/>
  </r>
  <r>
    <x v="4"/>
    <x v="1"/>
    <n v="9"/>
    <n v="8.5"/>
    <n v="8.5"/>
    <s v="Модель Claude Opus 4.6 демонструє високу якість текстуалізації, відтворюючи оригінальний текст майже без мовних помилок і з правильною загальною структурою, хоча іноді виникають незначні розбіжності в оформленні заголовків та таблиць. Виправлення дрібних одруківок та вдосконалення відображення управлінської структури можуть додатково покращити точність результатів."/>
    <n v="2"/>
    <x v="0"/>
  </r>
  <r>
    <x v="0"/>
    <x v="2"/>
    <n v="9.6"/>
    <n v="9.6"/>
    <n v="9.6"/>
    <s v="Модель Anthropic: Claude Sonnet 4.6 демонструє високу якість розпізнавання тексту, зберігаючи точність відтворення слів, структури документів, а також імен, дат і цифр у більшості випадків. Хоча загалом текст майже ідеально відтворений, є незначні похибки в оформленні підписів на одній зі сторінок, які не суттєво впливають на загальну якість результату."/>
    <n v="5"/>
    <x v="0"/>
  </r>
  <r>
    <x v="1"/>
    <x v="2"/>
    <n v="10"/>
    <n v="9.8000000000000007"/>
    <n v="10"/>
    <s v="Модель Google: Gemini 3 Flash Preview демонструє високу якість текстуалізації, відтворюючи текст без орфографічних помилок та точно зберігаючи структуру оригінального документа, включно з заголовками, списками та цифровими даними. Однак, незначною вадою є відсутність чіткого розділення між деякими розділами, що може надавати тексту менш формальний вигляд. В цілому, модель надійно справляється з точним і ефективним розпізнаванням тексту."/>
    <n v="5"/>
    <x v="0"/>
  </r>
  <r>
    <x v="2"/>
    <x v="2"/>
    <n v="10"/>
    <n v="9.6"/>
    <n v="10"/>
    <s v="Загалом, модель GPT-5.4 демонструє високу точність у текстуалізації, відтворюючи текст без помилок, зберігаючи структуру та правильність української мови, а також точно передаючи цифри та імена. Невеликі відхилення у форматуванні, як-от оформлення списків чи заголовків, зустрічаються, але не впливають на загальну якість відтворення тексту."/>
    <n v="5"/>
    <x v="0"/>
  </r>
  <r>
    <x v="3"/>
    <x v="2"/>
    <n v="10"/>
    <n v="9.5"/>
    <n v="9.75"/>
    <s v="Модель Google: Gemma 3 27B (free) демонструє високу якість текстуалізації, зберігаючи точність розпізнавання тексту, включаючи цифри і назви, без мовних та структурних помилок. В усіх випадках структура тексту, зокрема заголовки, відступи та списки, здебільшого відтворюється коректно, хоча можуть траплятися незначні відмінності у стилістичному оформленні елементів."/>
    <n v="4"/>
    <x v="0"/>
  </r>
  <r>
    <x v="4"/>
    <x v="2"/>
    <n v="9.8000000000000007"/>
    <n v="9.1999999999999993"/>
    <n v="10"/>
    <s v="Модель Claude Opus 4.6 демонструє високу якість роботи з текстуалізації, точно відтворюючи слова, цифри, імена та лінгвістичні аспекти тексту без орфографічних помилок. Загалом структура документів добре зберігається, хоча зустрічаються незначні невідповідності у форматуванні списків та візуалізації певних елементів, таких як спеціальні символи чи порожні рядки."/>
    <n v="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A7FAC9-70AC-4D31-AEF3-80021504457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24" firstHeaderRow="0" firstDataRow="1" firstDataCol="1"/>
  <pivotFields count="8">
    <pivotField axis="axisRow" showAll="0">
      <items count="6">
        <item x="4"/>
        <item x="0"/>
        <item x="1"/>
        <item x="3"/>
        <item x="2"/>
        <item t="default"/>
      </items>
    </pivotField>
    <pivotField axis="axisRow" showAll="0">
      <items count="4">
        <item x="1"/>
        <item x="2"/>
        <item x="0"/>
        <item t="default"/>
      </items>
    </pivotField>
    <pivotField dataField="1" showAll="0"/>
    <pivotField dataField="1" showAll="0"/>
    <pivotField dataField="1" showAll="0"/>
    <pivotField showAll="0"/>
    <pivotField showAll="0"/>
    <pivotField showAll="0">
      <items count="2">
        <item x="0"/>
        <item t="default"/>
      </items>
    </pivotField>
  </pivotFields>
  <rowFields count="2">
    <field x="0"/>
    <field x="1"/>
  </rowFields>
  <rowItems count="21">
    <i>
      <x/>
    </i>
    <i r="1">
      <x/>
    </i>
    <i r="1">
      <x v="1"/>
    </i>
    <i r="1">
      <x v="2"/>
    </i>
    <i>
      <x v="1"/>
    </i>
    <i r="1">
      <x/>
    </i>
    <i r="1">
      <x v="1"/>
    </i>
    <i r="1">
      <x v="2"/>
    </i>
    <i>
      <x v="2"/>
    </i>
    <i r="1">
      <x/>
    </i>
    <i r="1">
      <x v="1"/>
    </i>
    <i r="1">
      <x v="2"/>
    </i>
    <i>
      <x v="3"/>
    </i>
    <i r="1">
      <x/>
    </i>
    <i r="1">
      <x v="1"/>
    </i>
    <i r="1">
      <x v="2"/>
    </i>
    <i>
      <x v="4"/>
    </i>
    <i r="1">
      <x/>
    </i>
    <i r="1">
      <x v="1"/>
    </i>
    <i r="1">
      <x v="2"/>
    </i>
    <i t="grand">
      <x/>
    </i>
  </rowItems>
  <colFields count="1">
    <field x="-2"/>
  </colFields>
  <colItems count="3">
    <i>
      <x/>
    </i>
    <i i="1">
      <x v="1"/>
    </i>
    <i i="2">
      <x v="2"/>
    </i>
  </colItems>
  <dataFields count="3">
    <dataField name="Average of Avg Linguistic Score" fld="2" subtotal="average" baseField="0" baseItem="0" numFmtId="2"/>
    <dataField name="Average of Avg Structure Score" fld="3" subtotal="average" baseField="0" baseItem="0" numFmtId="2"/>
    <dataField name="Average of Avg Data Score" fld="4" subtotal="average" baseField="0" baseItem="0" numFmtId="2"/>
  </dataFields>
  <formats count="17">
    <format dxfId="16">
      <pivotArea collapsedLevelsAreSubtotals="1" fieldPosition="0">
        <references count="1">
          <reference field="0" count="1">
            <x v="0"/>
          </reference>
        </references>
      </pivotArea>
    </format>
    <format dxfId="15">
      <pivotArea dataOnly="0" labelOnly="1" fieldPosition="0">
        <references count="1">
          <reference field="0" count="1">
            <x v="0"/>
          </reference>
        </references>
      </pivotArea>
    </format>
    <format dxfId="14">
      <pivotArea collapsedLevelsAreSubtotals="1" fieldPosition="0">
        <references count="1">
          <reference field="0" count="1">
            <x v="1"/>
          </reference>
        </references>
      </pivotArea>
    </format>
    <format dxfId="13">
      <pivotArea dataOnly="0" labelOnly="1" fieldPosition="0">
        <references count="1">
          <reference field="0" count="1">
            <x v="1"/>
          </reference>
        </references>
      </pivotArea>
    </format>
    <format dxfId="12">
      <pivotArea collapsedLevelsAreSubtotals="1" fieldPosition="0">
        <references count="1">
          <reference field="0" count="1">
            <x v="2"/>
          </reference>
        </references>
      </pivotArea>
    </format>
    <format dxfId="11">
      <pivotArea dataOnly="0" labelOnly="1" fieldPosition="0">
        <references count="1">
          <reference field="0" count="1">
            <x v="2"/>
          </reference>
        </references>
      </pivotArea>
    </format>
    <format dxfId="10">
      <pivotArea collapsedLevelsAreSubtotals="1" fieldPosition="0">
        <references count="1">
          <reference field="0" count="1">
            <x v="3"/>
          </reference>
        </references>
      </pivotArea>
    </format>
    <format dxfId="9">
      <pivotArea dataOnly="0" labelOnly="1" fieldPosition="0">
        <references count="1">
          <reference field="0" count="1">
            <x v="3"/>
          </reference>
        </references>
      </pivotArea>
    </format>
    <format dxfId="8">
      <pivotArea collapsedLevelsAreSubtotals="1" fieldPosition="0">
        <references count="1">
          <reference field="0" count="1">
            <x v="4"/>
          </reference>
        </references>
      </pivotArea>
    </format>
    <format dxfId="7">
      <pivotArea dataOnly="0" labelOnly="1" fieldPosition="0">
        <references count="1">
          <reference field="0" count="1">
            <x v="4"/>
          </reference>
        </references>
      </pivotArea>
    </format>
    <format dxfId="6">
      <pivotArea field="0" type="button" dataOnly="0" labelOnly="1" outline="0" axis="axisRow" fieldPosition="0"/>
    </format>
    <format dxfId="5">
      <pivotArea dataOnly="0" labelOnly="1" outline="0" fieldPosition="0">
        <references count="1">
          <reference field="4294967294" count="3">
            <x v="0"/>
            <x v="1"/>
            <x v="2"/>
          </reference>
        </references>
      </pivotArea>
    </format>
    <format dxfId="4">
      <pivotArea outline="0" collapsedLevelsAreSubtotals="1" fieldPosition="0"/>
    </format>
    <format dxfId="3">
      <pivotArea outline="0" collapsedLevelsAreSubtotals="1" fieldPosition="0"/>
    </format>
    <format dxfId="2">
      <pivotArea field="0" type="button" dataOnly="0" labelOnly="1" outline="0" axis="axisRow" fieldPosition="0"/>
    </format>
    <format dxfId="1">
      <pivotArea dataOnly="0" labelOnly="1" outline="0" fieldPosition="0">
        <references count="1">
          <reference field="4294967294" count="3">
            <x v="0"/>
            <x v="1"/>
            <x v="2"/>
          </reference>
        </references>
      </pivotArea>
    </format>
    <format dxfId="0">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6"/>
  <sheetViews>
    <sheetView workbookViewId="0">
      <selection activeCell="A15" sqref="A15:H15"/>
    </sheetView>
  </sheetViews>
  <sheetFormatPr defaultRowHeight="14.4" x14ac:dyDescent="0.3"/>
  <cols>
    <col min="1" max="1" width="21.88671875" customWidth="1"/>
  </cols>
  <sheetData>
    <row r="1" spans="1:8" x14ac:dyDescent="0.3">
      <c r="A1" s="1" t="s">
        <v>0</v>
      </c>
      <c r="B1" s="1" t="s">
        <v>1</v>
      </c>
      <c r="C1" s="1" t="s">
        <v>2</v>
      </c>
      <c r="D1" s="1" t="s">
        <v>3</v>
      </c>
      <c r="E1" s="1" t="s">
        <v>4</v>
      </c>
      <c r="F1" s="1" t="s">
        <v>5</v>
      </c>
      <c r="G1" s="1" t="s">
        <v>6</v>
      </c>
      <c r="H1" s="1" t="s">
        <v>7</v>
      </c>
    </row>
    <row r="2" spans="1:8" x14ac:dyDescent="0.3">
      <c r="A2" t="s">
        <v>8</v>
      </c>
      <c r="B2" t="s">
        <v>9</v>
      </c>
      <c r="C2">
        <v>9.2899999999999991</v>
      </c>
      <c r="D2">
        <v>8.8800000000000008</v>
      </c>
      <c r="E2">
        <v>8.76</v>
      </c>
      <c r="F2" t="s">
        <v>10</v>
      </c>
      <c r="G2">
        <v>17</v>
      </c>
      <c r="H2" t="s">
        <v>11</v>
      </c>
    </row>
    <row r="3" spans="1:8" x14ac:dyDescent="0.3">
      <c r="A3" t="s">
        <v>12</v>
      </c>
      <c r="B3" t="s">
        <v>9</v>
      </c>
      <c r="C3">
        <v>9.32</v>
      </c>
      <c r="D3">
        <v>8.86</v>
      </c>
      <c r="E3">
        <v>8.82</v>
      </c>
      <c r="F3" t="s">
        <v>13</v>
      </c>
      <c r="G3">
        <v>22</v>
      </c>
      <c r="H3" t="s">
        <v>11</v>
      </c>
    </row>
    <row r="4" spans="1:8" x14ac:dyDescent="0.3">
      <c r="A4" t="s">
        <v>14</v>
      </c>
      <c r="B4" t="s">
        <v>9</v>
      </c>
      <c r="C4">
        <v>9.33</v>
      </c>
      <c r="D4">
        <v>9</v>
      </c>
      <c r="E4">
        <v>8.67</v>
      </c>
      <c r="F4" t="s">
        <v>15</v>
      </c>
      <c r="G4">
        <v>18</v>
      </c>
      <c r="H4" t="s">
        <v>11</v>
      </c>
    </row>
    <row r="5" spans="1:8" x14ac:dyDescent="0.3">
      <c r="A5" t="s">
        <v>16</v>
      </c>
      <c r="B5" t="s">
        <v>9</v>
      </c>
      <c r="C5">
        <v>9</v>
      </c>
      <c r="D5">
        <v>8.35</v>
      </c>
      <c r="E5">
        <v>8.0500000000000007</v>
      </c>
      <c r="F5" t="s">
        <v>17</v>
      </c>
      <c r="G5">
        <v>20</v>
      </c>
      <c r="H5" t="s">
        <v>11</v>
      </c>
    </row>
    <row r="6" spans="1:8" x14ac:dyDescent="0.3">
      <c r="A6" t="s">
        <v>18</v>
      </c>
      <c r="B6" t="s">
        <v>9</v>
      </c>
      <c r="C6">
        <v>9.35</v>
      </c>
      <c r="D6">
        <v>9.0500000000000007</v>
      </c>
      <c r="E6">
        <v>8.9499999999999993</v>
      </c>
      <c r="F6" t="s">
        <v>19</v>
      </c>
      <c r="G6">
        <v>20</v>
      </c>
      <c r="H6" t="s">
        <v>11</v>
      </c>
    </row>
    <row r="7" spans="1:8" x14ac:dyDescent="0.3">
      <c r="A7" t="s">
        <v>8</v>
      </c>
      <c r="B7" t="s">
        <v>20</v>
      </c>
      <c r="C7">
        <v>9</v>
      </c>
      <c r="D7">
        <v>8.5</v>
      </c>
      <c r="E7">
        <v>9.5</v>
      </c>
      <c r="F7" t="s">
        <v>21</v>
      </c>
      <c r="G7">
        <v>2</v>
      </c>
      <c r="H7" t="s">
        <v>11</v>
      </c>
    </row>
    <row r="8" spans="1:8" x14ac:dyDescent="0.3">
      <c r="A8" t="s">
        <v>12</v>
      </c>
      <c r="B8" t="s">
        <v>20</v>
      </c>
      <c r="C8">
        <v>9</v>
      </c>
      <c r="D8">
        <v>8.5</v>
      </c>
      <c r="E8">
        <v>9.5</v>
      </c>
      <c r="F8" t="s">
        <v>22</v>
      </c>
      <c r="G8">
        <v>2</v>
      </c>
      <c r="H8" t="s">
        <v>11</v>
      </c>
    </row>
    <row r="9" spans="1:8" x14ac:dyDescent="0.3">
      <c r="A9" t="s">
        <v>14</v>
      </c>
      <c r="B9" t="s">
        <v>20</v>
      </c>
      <c r="C9">
        <v>9</v>
      </c>
      <c r="D9">
        <v>7.5</v>
      </c>
      <c r="E9">
        <v>7.5</v>
      </c>
      <c r="F9" t="s">
        <v>23</v>
      </c>
      <c r="G9">
        <v>2</v>
      </c>
      <c r="H9" t="s">
        <v>11</v>
      </c>
    </row>
    <row r="10" spans="1:8" x14ac:dyDescent="0.3">
      <c r="A10" t="s">
        <v>16</v>
      </c>
      <c r="B10" t="s">
        <v>20</v>
      </c>
      <c r="C10">
        <v>8.5</v>
      </c>
      <c r="D10">
        <v>8.5</v>
      </c>
      <c r="E10">
        <v>7</v>
      </c>
      <c r="F10" t="s">
        <v>24</v>
      </c>
      <c r="G10">
        <v>2</v>
      </c>
      <c r="H10" t="s">
        <v>11</v>
      </c>
    </row>
    <row r="11" spans="1:8" x14ac:dyDescent="0.3">
      <c r="A11" t="s">
        <v>18</v>
      </c>
      <c r="B11" t="s">
        <v>20</v>
      </c>
      <c r="C11">
        <v>9</v>
      </c>
      <c r="D11">
        <v>8.5</v>
      </c>
      <c r="E11">
        <v>8.5</v>
      </c>
      <c r="F11" t="s">
        <v>25</v>
      </c>
      <c r="G11">
        <v>2</v>
      </c>
      <c r="H11" t="s">
        <v>11</v>
      </c>
    </row>
    <row r="12" spans="1:8" x14ac:dyDescent="0.3">
      <c r="A12" t="s">
        <v>8</v>
      </c>
      <c r="B12" t="s">
        <v>26</v>
      </c>
      <c r="C12">
        <v>9.6</v>
      </c>
      <c r="D12">
        <v>9.6</v>
      </c>
      <c r="E12">
        <v>9.6</v>
      </c>
      <c r="F12" t="s">
        <v>27</v>
      </c>
      <c r="G12">
        <v>5</v>
      </c>
      <c r="H12" t="s">
        <v>11</v>
      </c>
    </row>
    <row r="13" spans="1:8" x14ac:dyDescent="0.3">
      <c r="A13" t="s">
        <v>12</v>
      </c>
      <c r="B13" t="s">
        <v>26</v>
      </c>
      <c r="C13">
        <v>10</v>
      </c>
      <c r="D13">
        <v>9.8000000000000007</v>
      </c>
      <c r="E13">
        <v>10</v>
      </c>
      <c r="F13" t="s">
        <v>28</v>
      </c>
      <c r="G13">
        <v>5</v>
      </c>
      <c r="H13" t="s">
        <v>11</v>
      </c>
    </row>
    <row r="14" spans="1:8" x14ac:dyDescent="0.3">
      <c r="A14" t="s">
        <v>14</v>
      </c>
      <c r="B14" t="s">
        <v>26</v>
      </c>
      <c r="C14">
        <v>10</v>
      </c>
      <c r="D14">
        <v>9.6</v>
      </c>
      <c r="E14">
        <v>10</v>
      </c>
      <c r="F14" t="s">
        <v>29</v>
      </c>
      <c r="G14">
        <v>5</v>
      </c>
      <c r="H14" t="s">
        <v>11</v>
      </c>
    </row>
    <row r="15" spans="1:8" x14ac:dyDescent="0.3">
      <c r="A15" t="s">
        <v>16</v>
      </c>
      <c r="B15" t="s">
        <v>26</v>
      </c>
      <c r="C15">
        <v>10</v>
      </c>
      <c r="D15">
        <v>9.5</v>
      </c>
      <c r="E15">
        <v>9.75</v>
      </c>
      <c r="F15" t="s">
        <v>30</v>
      </c>
      <c r="G15">
        <v>4</v>
      </c>
      <c r="H15" t="s">
        <v>11</v>
      </c>
    </row>
    <row r="16" spans="1:8" x14ac:dyDescent="0.3">
      <c r="A16" t="s">
        <v>18</v>
      </c>
      <c r="B16" t="s">
        <v>26</v>
      </c>
      <c r="C16">
        <v>9.8000000000000007</v>
      </c>
      <c r="D16">
        <v>9.1999999999999993</v>
      </c>
      <c r="E16">
        <v>10</v>
      </c>
      <c r="F16" t="s">
        <v>31</v>
      </c>
      <c r="G16">
        <v>5</v>
      </c>
      <c r="H16" t="s">
        <v>11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5D6F3-2EDB-4EC3-AE47-56EE12E93BC4}">
  <dimension ref="A3:E24"/>
  <sheetViews>
    <sheetView tabSelected="1" workbookViewId="0">
      <selection activeCell="E20" sqref="E20"/>
    </sheetView>
  </sheetViews>
  <sheetFormatPr defaultRowHeight="14.4" x14ac:dyDescent="0.3"/>
  <cols>
    <col min="1" max="1" width="29.44140625" bestFit="1" customWidth="1"/>
    <col min="2" max="3" width="27.5546875" bestFit="1" customWidth="1"/>
    <col min="4" max="4" width="23.5546875" bestFit="1" customWidth="1"/>
    <col min="5" max="5" width="27.5546875" bestFit="1" customWidth="1"/>
    <col min="6" max="6" width="13.77734375" bestFit="1" customWidth="1"/>
    <col min="7" max="7" width="13.6640625" bestFit="1" customWidth="1"/>
    <col min="8" max="8" width="23.5546875" bestFit="1" customWidth="1"/>
    <col min="9" max="9" width="13.77734375" bestFit="1" customWidth="1"/>
    <col min="10" max="10" width="13.6640625" bestFit="1" customWidth="1"/>
    <col min="11" max="12" width="32.33203125" bestFit="1" customWidth="1"/>
    <col min="13" max="13" width="28.33203125" bestFit="1" customWidth="1"/>
  </cols>
  <sheetData>
    <row r="3" spans="1:5" x14ac:dyDescent="0.3">
      <c r="A3" s="4" t="s">
        <v>32</v>
      </c>
      <c r="B3" s="5" t="s">
        <v>34</v>
      </c>
      <c r="C3" s="5" t="s">
        <v>35</v>
      </c>
      <c r="D3" s="5" t="s">
        <v>36</v>
      </c>
      <c r="E3" s="9" t="s">
        <v>37</v>
      </c>
    </row>
    <row r="4" spans="1:5" x14ac:dyDescent="0.3">
      <c r="A4" s="3" t="s">
        <v>18</v>
      </c>
      <c r="B4" s="6">
        <v>9.3833333333333329</v>
      </c>
      <c r="C4" s="6">
        <v>8.9166666666666661</v>
      </c>
      <c r="D4" s="6">
        <v>9.15</v>
      </c>
      <c r="E4" s="12">
        <f>AVERAGE(GETPIVOTDATA("Average of Avg Linguistic Score",$A$3,"Experiment Name","Anthropic: Claude Opus 4.6"),GETPIVOTDATA("Average of Avg Structure Score",$A$3,"Experiment Name","Anthropic: Claude Opus 4.6"),GETPIVOTDATA("Average of Avg Data Score",$A$3,"Experiment Name","Anthropic: Claude Opus 4.6"))</f>
        <v>9.1499999999999986</v>
      </c>
    </row>
    <row r="5" spans="1:5" x14ac:dyDescent="0.3">
      <c r="A5" s="2" t="s">
        <v>20</v>
      </c>
      <c r="B5" s="7">
        <v>9</v>
      </c>
      <c r="C5" s="7">
        <v>8.5</v>
      </c>
      <c r="D5" s="7">
        <v>8.5</v>
      </c>
      <c r="E5" s="10"/>
    </row>
    <row r="6" spans="1:5" x14ac:dyDescent="0.3">
      <c r="A6" s="2" t="s">
        <v>26</v>
      </c>
      <c r="B6" s="7">
        <v>9.8000000000000007</v>
      </c>
      <c r="C6" s="7">
        <v>9.1999999999999993</v>
      </c>
      <c r="D6" s="7">
        <v>10</v>
      </c>
      <c r="E6" s="10"/>
    </row>
    <row r="7" spans="1:5" x14ac:dyDescent="0.3">
      <c r="A7" s="2" t="s">
        <v>9</v>
      </c>
      <c r="B7" s="7">
        <v>9.35</v>
      </c>
      <c r="C7" s="7">
        <v>9.0500000000000007</v>
      </c>
      <c r="D7" s="7">
        <v>8.9499999999999993</v>
      </c>
      <c r="E7" s="10"/>
    </row>
    <row r="8" spans="1:5" x14ac:dyDescent="0.3">
      <c r="A8" s="3" t="s">
        <v>8</v>
      </c>
      <c r="B8" s="6">
        <v>9.2966666666666669</v>
      </c>
      <c r="C8" s="6">
        <v>8.9933333333333341</v>
      </c>
      <c r="D8" s="6">
        <v>9.2866666666666671</v>
      </c>
      <c r="E8" s="13">
        <f>AVERAGE(GETPIVOTDATA("Average of Avg Linguistic Score",$A$3,"Experiment Name","Anthropic: Claude Sonnet 4.6"),GETPIVOTDATA("Average of Avg Structure Score",$A$3,"Experiment Name","Anthropic: Claude Sonnet 4.6"),GETPIVOTDATA("Average of Avg Data Score",$A$3,"Experiment Name","Anthropic: Claude Sonnet 4.6"))</f>
        <v>9.1922222222222221</v>
      </c>
    </row>
    <row r="9" spans="1:5" x14ac:dyDescent="0.3">
      <c r="A9" s="2" t="s">
        <v>20</v>
      </c>
      <c r="B9" s="7">
        <v>9</v>
      </c>
      <c r="C9" s="7">
        <v>8.5</v>
      </c>
      <c r="D9" s="7">
        <v>9.5</v>
      </c>
      <c r="E9" s="10"/>
    </row>
    <row r="10" spans="1:5" x14ac:dyDescent="0.3">
      <c r="A10" s="2" t="s">
        <v>26</v>
      </c>
      <c r="B10" s="7">
        <v>9.6</v>
      </c>
      <c r="C10" s="7">
        <v>9.6</v>
      </c>
      <c r="D10" s="7">
        <v>9.6</v>
      </c>
      <c r="E10" s="10"/>
    </row>
    <row r="11" spans="1:5" x14ac:dyDescent="0.3">
      <c r="A11" s="2" t="s">
        <v>9</v>
      </c>
      <c r="B11" s="7">
        <v>9.2899999999999991</v>
      </c>
      <c r="C11" s="7">
        <v>8.8800000000000008</v>
      </c>
      <c r="D11" s="7">
        <v>8.76</v>
      </c>
      <c r="E11" s="10"/>
    </row>
    <row r="12" spans="1:5" x14ac:dyDescent="0.3">
      <c r="A12" s="3" t="s">
        <v>12</v>
      </c>
      <c r="B12" s="6">
        <v>9.44</v>
      </c>
      <c r="C12" s="6">
        <v>9.0533333333333328</v>
      </c>
      <c r="D12" s="6">
        <v>9.44</v>
      </c>
      <c r="E12" s="13">
        <f>AVERAGE(GETPIVOTDATA("Average of Avg Linguistic Score",$A$3,"Experiment Name","Google: Gemini 3 Flash Preview"),GETPIVOTDATA("Average of Avg Structure Score",$A$3,"Experiment Name","Google: Gemini 3 Flash Preview"),GETPIVOTDATA("Average of Avg Data Score",$A$3,"Experiment Name","Google: Gemini 3 Flash Preview"))</f>
        <v>9.31111111111111</v>
      </c>
    </row>
    <row r="13" spans="1:5" x14ac:dyDescent="0.3">
      <c r="A13" s="2" t="s">
        <v>20</v>
      </c>
      <c r="B13" s="7">
        <v>9</v>
      </c>
      <c r="C13" s="7">
        <v>8.5</v>
      </c>
      <c r="D13" s="7">
        <v>9.5</v>
      </c>
      <c r="E13" s="10"/>
    </row>
    <row r="14" spans="1:5" x14ac:dyDescent="0.3">
      <c r="A14" s="2" t="s">
        <v>26</v>
      </c>
      <c r="B14" s="7">
        <v>10</v>
      </c>
      <c r="C14" s="7">
        <v>9.8000000000000007</v>
      </c>
      <c r="D14" s="7">
        <v>10</v>
      </c>
      <c r="E14" s="10"/>
    </row>
    <row r="15" spans="1:5" x14ac:dyDescent="0.3">
      <c r="A15" s="2" t="s">
        <v>9</v>
      </c>
      <c r="B15" s="7">
        <v>9.32</v>
      </c>
      <c r="C15" s="7">
        <v>8.86</v>
      </c>
      <c r="D15" s="7">
        <v>8.82</v>
      </c>
      <c r="E15" s="10"/>
    </row>
    <row r="16" spans="1:5" x14ac:dyDescent="0.3">
      <c r="A16" s="3" t="s">
        <v>16</v>
      </c>
      <c r="B16" s="6">
        <v>9.1666666666666661</v>
      </c>
      <c r="C16" s="6">
        <v>8.7833333333333332</v>
      </c>
      <c r="D16" s="6">
        <v>8.2666666666666675</v>
      </c>
      <c r="E16" s="13">
        <f>AVERAGE(GETPIVOTDATA("Average of Avg Linguistic Score",$A$3,"Experiment Name","Google: Gemma 3 27B (free)"),GETPIVOTDATA("Average of Avg Structure Score",$A$3,"Experiment Name","Google: Gemma 3 27B (free)"),GETPIVOTDATA("Average of Avg Data Score",$A$3,"Experiment Name","Google: Gemma 3 27B (free)"))</f>
        <v>8.7388888888888889</v>
      </c>
    </row>
    <row r="17" spans="1:5" x14ac:dyDescent="0.3">
      <c r="A17" s="2" t="s">
        <v>20</v>
      </c>
      <c r="B17" s="7">
        <v>8.5</v>
      </c>
      <c r="C17" s="7">
        <v>8.5</v>
      </c>
      <c r="D17" s="7">
        <v>7</v>
      </c>
      <c r="E17" s="10"/>
    </row>
    <row r="18" spans="1:5" x14ac:dyDescent="0.3">
      <c r="A18" s="2" t="s">
        <v>26</v>
      </c>
      <c r="B18" s="7">
        <v>10</v>
      </c>
      <c r="C18" s="7">
        <v>9.5</v>
      </c>
      <c r="D18" s="7">
        <v>9.75</v>
      </c>
      <c r="E18" s="10"/>
    </row>
    <row r="19" spans="1:5" x14ac:dyDescent="0.3">
      <c r="A19" s="2" t="s">
        <v>9</v>
      </c>
      <c r="B19" s="7">
        <v>9</v>
      </c>
      <c r="C19" s="7">
        <v>8.35</v>
      </c>
      <c r="D19" s="7">
        <v>8.0500000000000007</v>
      </c>
      <c r="E19" s="10"/>
    </row>
    <row r="20" spans="1:5" x14ac:dyDescent="0.3">
      <c r="A20" s="3" t="s">
        <v>14</v>
      </c>
      <c r="B20" s="6">
        <v>9.4433333333333334</v>
      </c>
      <c r="C20" s="6">
        <v>8.7000000000000011</v>
      </c>
      <c r="D20" s="6">
        <v>8.7233333333333345</v>
      </c>
      <c r="E20" s="13">
        <f>AVERAGE(GETPIVOTDATA("Average of Avg Linguistic Score",$A$3,"Experiment Name","OpenAI: GPT-5.4"),GETPIVOTDATA("Average of Avg Structure Score",$A$3,"Experiment Name","OpenAI: GPT-5.4"),GETPIVOTDATA("Average of Avg Data Score",$A$3,"Experiment Name","OpenAI: GPT-5.4"))</f>
        <v>8.9555555555555557</v>
      </c>
    </row>
    <row r="21" spans="1:5" x14ac:dyDescent="0.3">
      <c r="A21" s="2" t="s">
        <v>20</v>
      </c>
      <c r="B21" s="7">
        <v>9</v>
      </c>
      <c r="C21" s="7">
        <v>7.5</v>
      </c>
      <c r="D21" s="7">
        <v>7.5</v>
      </c>
      <c r="E21" s="10"/>
    </row>
    <row r="22" spans="1:5" x14ac:dyDescent="0.3">
      <c r="A22" s="2" t="s">
        <v>26</v>
      </c>
      <c r="B22" s="7">
        <v>10</v>
      </c>
      <c r="C22" s="7">
        <v>9.6</v>
      </c>
      <c r="D22" s="7">
        <v>10</v>
      </c>
      <c r="E22" s="10"/>
    </row>
    <row r="23" spans="1:5" x14ac:dyDescent="0.3">
      <c r="A23" s="2" t="s">
        <v>9</v>
      </c>
      <c r="B23" s="7">
        <v>9.33</v>
      </c>
      <c r="C23" s="7">
        <v>9</v>
      </c>
      <c r="D23" s="7">
        <v>8.67</v>
      </c>
      <c r="E23" s="10"/>
    </row>
    <row r="24" spans="1:5" x14ac:dyDescent="0.3">
      <c r="A24" s="8" t="s">
        <v>33</v>
      </c>
      <c r="B24" s="7">
        <v>9.3460000000000001</v>
      </c>
      <c r="C24" s="7">
        <v>8.8893333333333313</v>
      </c>
      <c r="D24" s="7">
        <v>8.9733333333333327</v>
      </c>
      <c r="E24" s="1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scores</vt:lpstr>
      <vt:lpstr>statistics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Olena Hnyp</cp:lastModifiedBy>
  <dcterms:created xsi:type="dcterms:W3CDTF">2026-03-05T22:44:55Z</dcterms:created>
  <dcterms:modified xsi:type="dcterms:W3CDTF">2026-03-05T23:40:19Z</dcterms:modified>
</cp:coreProperties>
</file>