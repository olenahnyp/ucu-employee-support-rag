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ena\Desktop\ucu\four\rag_support_system\"/>
    </mc:Choice>
  </mc:AlternateContent>
  <xr:revisionPtr revIDLastSave="0" documentId="13_ncr:1_{97E09202-1A60-4144-8DE4-53C327E4CC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ores" sheetId="1" r:id="rId1"/>
    <sheet name="statistics" sheetId="2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" l="1"/>
  <c r="E8" i="2"/>
  <c r="E4" i="2"/>
</calcChain>
</file>

<file path=xl/sharedStrings.xml><?xml version="1.0" encoding="utf-8"?>
<sst xmlns="http://schemas.openxmlformats.org/spreadsheetml/2006/main" count="62" uniqueCount="30">
  <si>
    <t>Experiment Name</t>
  </si>
  <si>
    <t>Input File</t>
  </si>
  <si>
    <t>Avg Linguistic Score</t>
  </si>
  <si>
    <t>Avg Structure Score</t>
  </si>
  <si>
    <t>Avg Data Score</t>
  </si>
  <si>
    <t>Justification</t>
  </si>
  <si>
    <t>Pages Processed</t>
  </si>
  <si>
    <t>Model Judge</t>
  </si>
  <si>
    <t>LlamaParse</t>
  </si>
  <si>
    <t>Simple text.md</t>
  </si>
  <si>
    <t>Модель LlamaParse демонструє неоднорідність у перетворенні тексту: лінгвістична правильність і загальна структура переважно збережені, однак спостерігаються постійні проблеми з точністю даних, таких як імена, дати, номери й назви установ. Хоча заголовки і структурні елементи на більшості сторінок в основному відтворюються правильно, є невідповідності у форматуванні та деталях між оригіналом та текстуалізованою версією.</t>
  </si>
  <si>
    <t>openai/gpt-4o</t>
  </si>
  <si>
    <t>LlamaParse Prompt</t>
  </si>
  <si>
    <t>Отримані результати роботи моделі LlamaParse Prompt свідчать про високу якість відтворення тексту, зокрема, у лінгвістичному аспекті, із збереженням граматики та орфографії. Основні неточності спостерігаються у форматуванні, зокрема, у заголовках та списках, однак дані, такі як імена, дати та номери документів, передаються правильно.</t>
  </si>
  <si>
    <t>Complex tables.md</t>
  </si>
  <si>
    <t>Загальний висновок про якість роботи моделі LlamaParse полягає в тому, що вона демонструє високу точність у розпізнаванні тексту і передачі змісту зображень, зокрема, імена, посади та цифри переважно відтворюються правильно. Однак, модель іноді має труднощі з підтриманням структури, особливо у складніших елементах, таких як таблиці чи схеми, де можуть спостерігатися незначні розбіжності в переходах рядків і відображенні позицій.</t>
  </si>
  <si>
    <t>Модель LlamaParse Prompt демонструє високу якість роботи при текстуалізації: текст і структура відтворені майже ідеально, без мовних помилок, з точністю в цифрових даних та іменах. Незначні неточності у форматуванні списків і заголовків не впливають на загальну інформаційну цілісність тексту.</t>
  </si>
  <si>
    <t>Visual data.md</t>
  </si>
  <si>
    <t>Загальний синтезований висновок про якість роботи моделі LlamaParse свідчить про те, що вона демонструє високий рівень лінгвістичної якості тексту з мінімальною кількістю мовних помилок та добре відтворює структуру оригіналу, включаючи заголовки та абзаци. Однак, деякі відхилення у форматуванні списків та неточності у відтворенні цифр і даних, таких як імена та статистичні дані, можуть виникати, що може впливати на точність переданої інформації з зображень.</t>
  </si>
  <si>
    <t>Модель LlamaParse Prompt демонструє високу лінгвістичну якість, зазвичай вірно відтворюючи текст з зображень без помітних граматичних помилок. Основні недоліки полягають у структурних неточностях, таких як відтворення заголовків, списків та форматування, а також в іноді неточному перенесенні специфічних даних, таких як цифри або імена, що в окремих випадках впливає на точність інформації. Загалом, модель добре справляється із збереженням змісту та структури тексту, але може потребувати поліпшення в плані відображення точних деталей та форматування.</t>
  </si>
  <si>
    <t>Google: Gemma 3 27B (free)</t>
  </si>
  <si>
    <t>Модель Google: Gemma 3 27B загалом демонструє високу лінгвістичну якість, відтворюючи текст без значних орфографічних та граматичних помилок. Проте, часто спостерігаються незначні відхилення у форматуванні та структурі, такі як втрата деяких візуальних елементів, графіків або списків, а також неточності в числових даних. Дані, такі як імена та описи, здебільшого точні, але можуть вимагати додаткової перевірки для đảmнення повної відповідності.</t>
  </si>
  <si>
    <t>Модель Gemma 3 27B демонструє загалом високу якість текстуалізації, добре зберігаючи структуру тексту і форматування списків та заголовків. Однак, вона допускає дрібні неточності в узгодженості тексту, мають місце окремі лексичні помилки і певні розбіжності в іменах, посадових назвах та окремих даних. Це вказує на її стабільну роботу зі структурою, але вимагає більшої точності в деталях.</t>
  </si>
  <si>
    <t>Модель Google: Gemma 3 27B (free) демонструє високу якість текстуалізації, зберігаючи точність розпізнавання тексту, включаючи цифри і назви, без мовних та структурних помилок. В усіх випадках структура тексту, зокрема заголовки, відступи та списки, здебільшого відтворюється коректно, хоча можуть траплятися незначні відмінності у стилістичному оформленні елементів.</t>
  </si>
  <si>
    <t>Row Labels</t>
  </si>
  <si>
    <t>Grand Total</t>
  </si>
  <si>
    <t>Average of Avg Linguistic Score</t>
  </si>
  <si>
    <t>Average of Avg Structure Score</t>
  </si>
  <si>
    <t>Average of Avg Data Score</t>
  </si>
  <si>
    <t>Model Total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</si>
</sst>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3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4" borderId="2" xfId="0" applyNumberFormat="1" applyFill="1" applyBorder="1" applyAlignment="1">
      <alignment horizontal="center"/>
    </xf>
    <xf numFmtId="2" fontId="0" fillId="4" borderId="3" xfId="0" applyNumberFormat="1" applyFill="1" applyBorder="1" applyAlignment="1">
      <alignment horizontal="center"/>
    </xf>
    <xf numFmtId="2" fontId="0" fillId="5" borderId="3" xfId="0" applyNumberFormat="1" applyFill="1" applyBorder="1" applyAlignment="1">
      <alignment horizontal="center"/>
    </xf>
    <xf numFmtId="2" fontId="0" fillId="5" borderId="4" xfId="0" applyNumberFormat="1" applyFill="1" applyBorder="1" applyAlignment="1">
      <alignment horizontal="center"/>
    </xf>
  </cellXfs>
  <cellStyles count="1">
    <cellStyle name="Normal" xfId="0" builtinId="0"/>
  </cellStyles>
  <dxfs count="28">
    <dxf>
      <alignment horizontal="center"/>
    </dxf>
    <dxf>
      <alignment horizontal="left"/>
    </dxf>
    <dxf>
      <alignment horizontal="center"/>
    </dxf>
    <dxf>
      <alignment horizontal="left"/>
    </dxf>
    <dxf>
      <alignment horizontal="center"/>
    </dxf>
    <dxf>
      <alignment horizontal="left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ena" refreshedDate="46087.065129513889" createdVersion="8" refreshedVersion="8" minRefreshableVersion="3" recordCount="9" xr:uid="{3F867CB3-9DB5-41F5-A132-4DC08B831689}">
  <cacheSource type="worksheet">
    <worksheetSource ref="A1:H10" sheet="scores"/>
  </cacheSource>
  <cacheFields count="8">
    <cacheField name="Experiment Name" numFmtId="0">
      <sharedItems count="3">
        <s v="LlamaParse"/>
        <s v="LlamaParse Prompt"/>
        <s v="Google: Gemma 3 27B (free)"/>
      </sharedItems>
    </cacheField>
    <cacheField name="Input File" numFmtId="0">
      <sharedItems count="3">
        <s v="Simple text.md"/>
        <s v="Complex tables.md"/>
        <s v="Visual data.md"/>
      </sharedItems>
    </cacheField>
    <cacheField name="Avg Linguistic Score" numFmtId="0">
      <sharedItems containsSemiMixedTypes="0" containsString="0" containsNumber="1" minValue="7.4" maxValue="10"/>
    </cacheField>
    <cacheField name="Avg Structure Score" numFmtId="0">
      <sharedItems containsSemiMixedTypes="0" containsString="0" containsNumber="1" minValue="6.4" maxValue="9.5"/>
    </cacheField>
    <cacheField name="Avg Data Score" numFmtId="0">
      <sharedItems containsSemiMixedTypes="0" containsString="0" containsNumber="1" minValue="5.4" maxValue="9.75"/>
    </cacheField>
    <cacheField name="Justification" numFmtId="0">
      <sharedItems longText="1"/>
    </cacheField>
    <cacheField name="Pages Processed" numFmtId="0">
      <sharedItems containsSemiMixedTypes="0" containsString="0" containsNumber="1" containsInteger="1" minValue="2" maxValue="24"/>
    </cacheField>
    <cacheField name="Model Judg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7.4"/>
    <n v="6.4"/>
    <n v="5.4"/>
    <s v="Модель LlamaParse демонструє неоднорідність у перетворенні тексту: лінгвістична правильність і загальна структура переважно збережені, однак спостерігаються постійні проблеми з точністю даних, таких як імена, дати, номери й назви установ. Хоча заголовки і структурні елементи на більшості сторінок в основному відтворюються правильно, є невідповідності у форматуванні та деталях між оригіналом та текстуалізованою версією."/>
    <n v="5"/>
    <s v="openai/gpt-4o"/>
  </r>
  <r>
    <x v="1"/>
    <x v="0"/>
    <n v="10"/>
    <n v="9.1999999999999993"/>
    <n v="9.6"/>
    <s v="Отримані результати роботи моделі LlamaParse Prompt свідчать про високу якість відтворення тексту, зокрема, у лінгвістичному аспекті, із збереженням граматики та орфографії. Основні неточності спостерігаються у форматуванні, зокрема, у заголовках та списках, однак дані, такі як імена, дати та номери документів, передаються правильно."/>
    <n v="5"/>
    <s v="openai/gpt-4o"/>
  </r>
  <r>
    <x v="2"/>
    <x v="0"/>
    <n v="10"/>
    <n v="9.5"/>
    <n v="9.75"/>
    <s v="Модель Google: Gemma 3 27B (free) демонструє високу якість текстуалізації, зберігаючи точність розпізнавання тексту, включаючи цифри і назви, без мовних та структурних помилок. В усіх випадках структура тексту, зокрема заголовки, відступи та списки, здебільшого відтворюється коректно, хоча можуть траплятися незначні відмінності у стилістичному оформленні елементів."/>
    <n v="4"/>
    <s v="openai/gpt-4o"/>
  </r>
  <r>
    <x v="0"/>
    <x v="1"/>
    <n v="9.5"/>
    <n v="8.5"/>
    <n v="9"/>
    <s v="Загальний висновок про якість роботи моделі LlamaParse полягає в тому, що вона демонструє високу точність у розпізнаванні тексту і передачі змісту зображень, зокрема, імена, посади та цифри переважно відтворюються правильно. Однак, модель іноді має труднощі з підтриманням структури, особливо у складніших елементах, таких як таблиці чи схеми, де можуть спостерігатися незначні розбіжності в переходах рядків і відображенні позицій."/>
    <n v="2"/>
    <s v="openai/gpt-4o"/>
  </r>
  <r>
    <x v="1"/>
    <x v="1"/>
    <n v="9"/>
    <n v="8.5"/>
    <n v="9"/>
    <s v="Модель LlamaParse Prompt демонструє високу якість роботи при текстуалізації: текст і структура відтворені майже ідеально, без мовних помилок, з точністю в цифрових даних та іменах. Незначні неточності у форматуванні списків і заголовків не впливають на загальну інформаційну цілісність тексту."/>
    <n v="2"/>
    <s v="openai/gpt-4o"/>
  </r>
  <r>
    <x v="2"/>
    <x v="1"/>
    <n v="8.5"/>
    <n v="8.5"/>
    <n v="7"/>
    <s v="Модель Gemma 3 27B демонструє загалом високу якість текстуалізації, добре зберігаючи структуру тексту і форматування списків та заголовків. Однак, вона допускає дрібні неточності в узгодженості тексту, мають місце окремі лексичні помилки і певні розбіжності в іменах, посадових назвах та окремих даних. Це вказує на її стабільну роботу зі структурою, але вимагає більшої точності в деталях."/>
    <n v="2"/>
    <s v="openai/gpt-4o"/>
  </r>
  <r>
    <x v="0"/>
    <x v="2"/>
    <n v="9.17"/>
    <n v="8.5399999999999991"/>
    <n v="8.33"/>
    <s v="Загальний синтезований висновок про якість роботи моделі LlamaParse свідчить про те, що вона демонструє високий рівень лінгвістичної якості тексту з мінімальною кількістю мовних помилок та добре відтворює структуру оригіналу, включаючи заголовки та абзаци. Однак, деякі відхилення у форматуванні списків та неточності у відтворенні цифр і даних, таких як імена та статистичні дані, можуть виникати, що може впливати на точність переданої інформації з зображень."/>
    <n v="24"/>
    <s v="openai/gpt-4o"/>
  </r>
  <r>
    <x v="1"/>
    <x v="2"/>
    <n v="8.91"/>
    <n v="8.39"/>
    <n v="7.61"/>
    <s v="Модель LlamaParse Prompt демонструє високу лінгвістичну якість, зазвичай вірно відтворюючи текст з зображень без помітних граматичних помилок. Основні недоліки полягають у структурних неточностях, таких як відтворення заголовків, списків та форматування, а також в іноді неточному перенесенні специфічних даних, таких як цифри або імена, що в окремих випадках впливає на точність інформації. Загалом, модель добре справляється із збереженням змісту та структури тексту, але може потребувати поліпшення в плані відображення точних деталей та форматування."/>
    <n v="23"/>
    <s v="openai/gpt-4o"/>
  </r>
  <r>
    <x v="2"/>
    <x v="2"/>
    <n v="9"/>
    <n v="8.35"/>
    <n v="8.0500000000000007"/>
    <s v="Модель Google: Gemma 3 27B загалом демонструє високу лінгвістичну якість, відтворюючи текст без значних орфографічних та граматичних помилок. Проте, часто спостерігаються незначні відхилення у форматуванні та структурі, такі як втрата деяких візуальних елементів, графіків або списків, а також неточності в числових даних. Дані, такі як імена та описи, здебільшого точні, але можуть вимагати додаткової перевірки для đảmнення повної відповідності."/>
    <n v="20"/>
    <s v="openai/gpt-4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D27E9-FFF4-49A7-BDF3-2AC5BAD8FFB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6" firstHeaderRow="0" firstDataRow="1" firstDataCol="1"/>
  <pivotFields count="8">
    <pivotField axis="axisRow" showAll="0">
      <items count="4">
        <item x="2"/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</pivotFields>
  <rowFields count="2">
    <field x="0"/>
    <field x="1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vg Linguistic Score" fld="2" subtotal="average" baseField="0" baseItem="0" numFmtId="2"/>
    <dataField name="Average of Avg Structure Score" fld="3" subtotal="average" baseField="0" baseItem="0" numFmtId="2"/>
    <dataField name="Average of Avg Data Score" fld="4" subtotal="average" baseField="0" baseItem="0" numFmtId="2"/>
  </dataFields>
  <formats count="24">
    <format dxfId="27">
      <pivotArea collapsedLevelsAreSubtotals="1" fieldPosition="0">
        <references count="1">
          <reference field="0" count="1">
            <x v="0"/>
          </reference>
        </references>
      </pivotArea>
    </format>
    <format dxfId="26">
      <pivotArea dataOnly="0" labelOnly="1" fieldPosition="0">
        <references count="1">
          <reference field="0" count="1">
            <x v="0"/>
          </reference>
        </references>
      </pivotArea>
    </format>
    <format dxfId="25">
      <pivotArea collapsedLevelsAreSubtotals="1" fieldPosition="0">
        <references count="1">
          <reference field="0" count="1">
            <x v="1"/>
          </reference>
        </references>
      </pivotArea>
    </format>
    <format dxfId="24">
      <pivotArea dataOnly="0" labelOnly="1" fieldPosition="0">
        <references count="1">
          <reference field="0" count="1">
            <x v="1"/>
          </reference>
        </references>
      </pivotArea>
    </format>
    <format dxfId="23">
      <pivotArea collapsedLevelsAreSubtotals="1" fieldPosition="0">
        <references count="1">
          <reference field="0" count="1">
            <x v="2"/>
          </reference>
        </references>
      </pivotArea>
    </format>
    <format dxfId="22">
      <pivotArea dataOnly="0" labelOnly="1" fieldPosition="0">
        <references count="1">
          <reference field="0" count="1">
            <x v="2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fieldPosition="0">
        <references count="1">
          <reference field="0" count="0"/>
        </references>
      </pivotArea>
    </format>
    <format dxfId="17">
      <pivotArea dataOnly="0" labelOnly="1" grandRow="1" outline="0" fieldPosition="0"/>
    </format>
    <format dxfId="16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15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14">
      <pivotArea dataOnly="0" labelOnly="1" fieldPosition="0">
        <references count="2">
          <reference field="0" count="1" selected="0">
            <x v="2"/>
          </reference>
          <reference field="1" count="0"/>
        </references>
      </pivotArea>
    </format>
    <format dxfId="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0" type="button" dataOnly="0" labelOnly="1" outline="0" axis="axisRow" fieldPosition="0"/>
    </format>
    <format dxfId="9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">
      <pivotArea dataOnly="0" labelOnly="1" fieldPosition="0">
        <references count="1">
          <reference field="0" count="0"/>
        </references>
      </pivotArea>
    </format>
    <format dxfId="5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3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1">
      <pivotArea dataOnly="0" labelOnly="1" fieldPosition="0">
        <references count="2">
          <reference field="0" count="1" selected="0">
            <x v="2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H16" sqref="H1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7.4</v>
      </c>
      <c r="D2">
        <v>6.4</v>
      </c>
      <c r="E2">
        <v>5.4</v>
      </c>
      <c r="F2" t="s">
        <v>10</v>
      </c>
      <c r="G2">
        <v>5</v>
      </c>
      <c r="H2" t="s">
        <v>11</v>
      </c>
    </row>
    <row r="3" spans="1:8" x14ac:dyDescent="0.3">
      <c r="A3" t="s">
        <v>12</v>
      </c>
      <c r="B3" t="s">
        <v>9</v>
      </c>
      <c r="C3">
        <v>10</v>
      </c>
      <c r="D3">
        <v>9.1999999999999993</v>
      </c>
      <c r="E3">
        <v>9.6</v>
      </c>
      <c r="F3" t="s">
        <v>13</v>
      </c>
      <c r="G3">
        <v>5</v>
      </c>
      <c r="H3" t="s">
        <v>11</v>
      </c>
    </row>
    <row r="4" spans="1:8" x14ac:dyDescent="0.3">
      <c r="A4" t="s">
        <v>20</v>
      </c>
      <c r="B4" t="s">
        <v>9</v>
      </c>
      <c r="C4">
        <v>10</v>
      </c>
      <c r="D4">
        <v>9.5</v>
      </c>
      <c r="E4">
        <v>9.75</v>
      </c>
      <c r="F4" t="s">
        <v>23</v>
      </c>
      <c r="G4">
        <v>4</v>
      </c>
      <c r="H4" t="s">
        <v>11</v>
      </c>
    </row>
    <row r="5" spans="1:8" x14ac:dyDescent="0.3">
      <c r="A5" t="s">
        <v>8</v>
      </c>
      <c r="B5" t="s">
        <v>14</v>
      </c>
      <c r="C5">
        <v>9.5</v>
      </c>
      <c r="D5">
        <v>8.5</v>
      </c>
      <c r="E5">
        <v>9</v>
      </c>
      <c r="F5" t="s">
        <v>15</v>
      </c>
      <c r="G5">
        <v>2</v>
      </c>
      <c r="H5" t="s">
        <v>11</v>
      </c>
    </row>
    <row r="6" spans="1:8" x14ac:dyDescent="0.3">
      <c r="A6" t="s">
        <v>12</v>
      </c>
      <c r="B6" t="s">
        <v>14</v>
      </c>
      <c r="C6">
        <v>9</v>
      </c>
      <c r="D6">
        <v>8.5</v>
      </c>
      <c r="E6">
        <v>9</v>
      </c>
      <c r="F6" t="s">
        <v>16</v>
      </c>
      <c r="G6">
        <v>2</v>
      </c>
      <c r="H6" t="s">
        <v>11</v>
      </c>
    </row>
    <row r="7" spans="1:8" x14ac:dyDescent="0.3">
      <c r="A7" t="s">
        <v>20</v>
      </c>
      <c r="B7" t="s">
        <v>14</v>
      </c>
      <c r="C7">
        <v>8.5</v>
      </c>
      <c r="D7">
        <v>8.5</v>
      </c>
      <c r="E7">
        <v>7</v>
      </c>
      <c r="F7" t="s">
        <v>22</v>
      </c>
      <c r="G7">
        <v>2</v>
      </c>
      <c r="H7" t="s">
        <v>11</v>
      </c>
    </row>
    <row r="8" spans="1:8" x14ac:dyDescent="0.3">
      <c r="A8" t="s">
        <v>8</v>
      </c>
      <c r="B8" t="s">
        <v>17</v>
      </c>
      <c r="C8">
        <v>9.17</v>
      </c>
      <c r="D8">
        <v>8.5399999999999991</v>
      </c>
      <c r="E8">
        <v>8.33</v>
      </c>
      <c r="F8" t="s">
        <v>18</v>
      </c>
      <c r="G8">
        <v>24</v>
      </c>
      <c r="H8" t="s">
        <v>11</v>
      </c>
    </row>
    <row r="9" spans="1:8" x14ac:dyDescent="0.3">
      <c r="A9" t="s">
        <v>12</v>
      </c>
      <c r="B9" t="s">
        <v>17</v>
      </c>
      <c r="C9">
        <v>8.91</v>
      </c>
      <c r="D9">
        <v>8.39</v>
      </c>
      <c r="E9">
        <v>7.61</v>
      </c>
      <c r="F9" t="s">
        <v>19</v>
      </c>
      <c r="G9">
        <v>23</v>
      </c>
      <c r="H9" t="s">
        <v>11</v>
      </c>
    </row>
    <row r="10" spans="1:8" x14ac:dyDescent="0.3">
      <c r="A10" t="s">
        <v>20</v>
      </c>
      <c r="B10" t="s">
        <v>17</v>
      </c>
      <c r="C10">
        <v>9</v>
      </c>
      <c r="D10">
        <v>8.35</v>
      </c>
      <c r="E10">
        <v>8.0500000000000007</v>
      </c>
      <c r="F10" t="s">
        <v>21</v>
      </c>
      <c r="G10">
        <v>20</v>
      </c>
      <c r="H10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D487E-654D-447A-BE36-7330B6F26E56}">
  <dimension ref="A3:E16"/>
  <sheetViews>
    <sheetView workbookViewId="0">
      <selection activeCell="A22" sqref="A22"/>
    </sheetView>
  </sheetViews>
  <sheetFormatPr defaultRowHeight="14.4" x14ac:dyDescent="0.3"/>
  <cols>
    <col min="1" max="1" width="26.88671875" bestFit="1" customWidth="1"/>
    <col min="2" max="3" width="27.5546875" bestFit="1" customWidth="1"/>
    <col min="4" max="4" width="23.5546875" bestFit="1" customWidth="1"/>
    <col min="5" max="5" width="20.5546875" customWidth="1"/>
  </cols>
  <sheetData>
    <row r="3" spans="1:5" x14ac:dyDescent="0.3">
      <c r="A3" s="5" t="s">
        <v>24</v>
      </c>
      <c r="B3" s="6" t="s">
        <v>26</v>
      </c>
      <c r="C3" s="6" t="s">
        <v>27</v>
      </c>
      <c r="D3" s="6" t="s">
        <v>28</v>
      </c>
      <c r="E3" s="2" t="s">
        <v>29</v>
      </c>
    </row>
    <row r="4" spans="1:5" x14ac:dyDescent="0.3">
      <c r="A4" s="3" t="s">
        <v>20</v>
      </c>
      <c r="B4" s="7">
        <v>9.1666666666666661</v>
      </c>
      <c r="C4" s="7">
        <v>8.7833333333333332</v>
      </c>
      <c r="D4" s="7">
        <v>8.2666666666666675</v>
      </c>
      <c r="E4" s="9">
        <f>AVERAGE(GETPIVOTDATA("Average of Avg Linguistic Score",$A$3,"Experiment Name","Google: Gemma 3 27B (free)"),GETPIVOTDATA("Average of Avg Structure Score",$A$3,"Experiment Name","Google: Gemma 3 27B (free)"),GETPIVOTDATA("Average of Avg Data Score",$A$3,"Experiment Name","Google: Gemma 3 27B (free)"))</f>
        <v>8.7388888888888889</v>
      </c>
    </row>
    <row r="5" spans="1:5" x14ac:dyDescent="0.3">
      <c r="A5" s="4" t="s">
        <v>14</v>
      </c>
      <c r="B5" s="8">
        <v>8.5</v>
      </c>
      <c r="C5" s="8">
        <v>8.5</v>
      </c>
      <c r="D5" s="8">
        <v>7</v>
      </c>
      <c r="E5" s="11"/>
    </row>
    <row r="6" spans="1:5" x14ac:dyDescent="0.3">
      <c r="A6" s="4" t="s">
        <v>9</v>
      </c>
      <c r="B6" s="8">
        <v>10</v>
      </c>
      <c r="C6" s="8">
        <v>9.5</v>
      </c>
      <c r="D6" s="8">
        <v>9.75</v>
      </c>
      <c r="E6" s="11"/>
    </row>
    <row r="7" spans="1:5" x14ac:dyDescent="0.3">
      <c r="A7" s="4" t="s">
        <v>17</v>
      </c>
      <c r="B7" s="8">
        <v>9</v>
      </c>
      <c r="C7" s="8">
        <v>8.35</v>
      </c>
      <c r="D7" s="8">
        <v>8.0500000000000007</v>
      </c>
      <c r="E7" s="11"/>
    </row>
    <row r="8" spans="1:5" x14ac:dyDescent="0.3">
      <c r="A8" s="3" t="s">
        <v>8</v>
      </c>
      <c r="B8" s="7">
        <v>8.69</v>
      </c>
      <c r="C8" s="7">
        <v>7.8133333333333326</v>
      </c>
      <c r="D8" s="7">
        <v>7.5766666666666671</v>
      </c>
      <c r="E8" s="10">
        <f>AVERAGE(GETPIVOTDATA("Average of Avg Linguistic Score",$A$3,"Experiment Name","LlamaParse"),GETPIVOTDATA("Average of Avg Structure Score",$A$3,"Experiment Name","LlamaParse"),GETPIVOTDATA("Average of Avg Data Score",$A$3,"Experiment Name","LlamaParse"))</f>
        <v>8.0266666666666655</v>
      </c>
    </row>
    <row r="9" spans="1:5" x14ac:dyDescent="0.3">
      <c r="A9" s="4" t="s">
        <v>14</v>
      </c>
      <c r="B9" s="8">
        <v>9.5</v>
      </c>
      <c r="C9" s="8">
        <v>8.5</v>
      </c>
      <c r="D9" s="8">
        <v>9</v>
      </c>
      <c r="E9" s="11"/>
    </row>
    <row r="10" spans="1:5" x14ac:dyDescent="0.3">
      <c r="A10" s="4" t="s">
        <v>9</v>
      </c>
      <c r="B10" s="8">
        <v>7.4</v>
      </c>
      <c r="C10" s="8">
        <v>6.4</v>
      </c>
      <c r="D10" s="8">
        <v>5.4</v>
      </c>
      <c r="E10" s="11"/>
    </row>
    <row r="11" spans="1:5" x14ac:dyDescent="0.3">
      <c r="A11" s="4" t="s">
        <v>17</v>
      </c>
      <c r="B11" s="8">
        <v>9.17</v>
      </c>
      <c r="C11" s="8">
        <v>8.5399999999999991</v>
      </c>
      <c r="D11" s="8">
        <v>8.33</v>
      </c>
      <c r="E11" s="11"/>
    </row>
    <row r="12" spans="1:5" x14ac:dyDescent="0.3">
      <c r="A12" s="3" t="s">
        <v>12</v>
      </c>
      <c r="B12" s="7">
        <v>9.3033333333333328</v>
      </c>
      <c r="C12" s="7">
        <v>8.6966666666666672</v>
      </c>
      <c r="D12" s="7">
        <v>8.7366666666666664</v>
      </c>
      <c r="E12" s="10">
        <f>AVERAGE(GETPIVOTDATA("Average of Avg Linguistic Score",$A$3,"Experiment Name","LlamaParse Prompt"),GETPIVOTDATA("Average of Avg Structure Score",$A$3,"Experiment Name","LlamaParse Prompt"),GETPIVOTDATA("Average of Avg Data Score",$A$3,"Experiment Name","LlamaParse Prompt"))</f>
        <v>8.9122222222222209</v>
      </c>
    </row>
    <row r="13" spans="1:5" x14ac:dyDescent="0.3">
      <c r="A13" s="4" t="s">
        <v>14</v>
      </c>
      <c r="B13" s="8">
        <v>9</v>
      </c>
      <c r="C13" s="8">
        <v>8.5</v>
      </c>
      <c r="D13" s="8">
        <v>9</v>
      </c>
      <c r="E13" s="11"/>
    </row>
    <row r="14" spans="1:5" x14ac:dyDescent="0.3">
      <c r="A14" s="4" t="s">
        <v>9</v>
      </c>
      <c r="B14" s="8">
        <v>10</v>
      </c>
      <c r="C14" s="8">
        <v>9.1999999999999993</v>
      </c>
      <c r="D14" s="8">
        <v>9.6</v>
      </c>
      <c r="E14" s="11"/>
    </row>
    <row r="15" spans="1:5" x14ac:dyDescent="0.3">
      <c r="A15" s="4" t="s">
        <v>17</v>
      </c>
      <c r="B15" s="8">
        <v>8.91</v>
      </c>
      <c r="C15" s="8">
        <v>8.39</v>
      </c>
      <c r="D15" s="8">
        <v>7.61</v>
      </c>
      <c r="E15" s="11"/>
    </row>
    <row r="16" spans="1:5" x14ac:dyDescent="0.3">
      <c r="A16" s="6" t="s">
        <v>25</v>
      </c>
      <c r="B16" s="8">
        <v>9.0533333333333328</v>
      </c>
      <c r="C16" s="8">
        <v>8.431111111111111</v>
      </c>
      <c r="D16" s="8">
        <v>8.1933333333333334</v>
      </c>
      <c r="E1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Olena Hnyp</cp:lastModifiedBy>
  <dcterms:created xsi:type="dcterms:W3CDTF">2026-03-05T23:32:10Z</dcterms:created>
  <dcterms:modified xsi:type="dcterms:W3CDTF">2026-03-05T23:40:13Z</dcterms:modified>
</cp:coreProperties>
</file>